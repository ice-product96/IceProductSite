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b4c3307bb4b1b" /><Relationship Type="http://schemas.openxmlformats.org/package/2006/relationships/metadata/core-properties" Target="/docProps/core.xml" Id="R723abcd6b7194cfa" /><Relationship Type="http://schemas.openxmlformats.org/officeDocument/2006/relationships/extended-properties" Target="/docProps/app.xml" Id="R83842f71df994003" /><Relationship Type="http://schemas.openxmlformats.org/officeDocument/2006/relationships/custom-properties" Target="/docProps/custom.xml" Id="R3373f082d6d04f7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Инструкция" sheetId="2" r:id="R357ab89cc4f344f5"/>
    <x:sheet xmlns:r="http://schemas.openxmlformats.org/officeDocument/2006/relationships" name="Журнал" sheetId="1" r:id="rId1"/>
    <x:sheet name="Сводка" sheetId="4" r:id="R14dfe4d15b1d4e7b"/>
    <x:sheet name="Справочники" sheetId="3" r:id="R05553061833f4a7b"/>
  </x:sheets>
  <x:definedNames>
    <x:definedName name="_xlnm.Print_Titles" localSheetId="1">Журнал!$1:$5</x:definedName>
  </x:definedNames>
  <x:calcPr fullCalcOnLoad="1"/>
</x:workbook>
</file>

<file path=xl/styles.xml><?xml version="1.0" encoding="utf-8"?>
<x:styleSheet xmlns:x="http://schemas.openxmlformats.org/spreadsheetml/2006/main">
  <x:numFmts count="1">
    <x:numFmt numFmtId="164" formatCode="DD.MM.YYYY"/>
  </x:numFmts>
  <x:fonts count="11">
    <x:font>
      <x:sz val="11"/>
      <x:name val="Calibri"/>
    </x:font>
    <x:font>
      <x:b/>
      <x:sz val="16"/>
      <x:color rgb="FFFFFFFF"/>
      <x:name val="Calibri"/>
    </x:font>
    <x:font>
      <x:i/>
      <x:sz val="10"/>
      <x:name val="Calibri"/>
    </x:font>
    <x:font>
      <x:sz val="10"/>
      <x:name val="Calibri"/>
    </x:font>
    <x:font>
      <x:b/>
      <x:sz val="11"/>
      <x:color rgb="FFFFFFFF"/>
      <x:name val="Calibri"/>
    </x:font>
    <x:font>
      <x:b/>
      <x:sz val="13"/>
      <x:color rgb="FF00838F"/>
      <x:name val="Calibri"/>
    </x:font>
    <x:font>
      <x:b/>
      <x:sz val="11"/>
      <x:name val="Calibri"/>
    </x:font>
    <x:font>
      <x:b/>
      <x:sz val="11"/>
      <x:color rgb="FFC62828"/>
      <x:name val="Calibri"/>
    </x:font>
    <x:font>
      <x:i/>
      <x:sz val="11"/>
      <x:name val="Calibri"/>
    </x:font>
    <x:font>
      <x:u/>
      <x:sz val="11"/>
      <x:color rgb="FF0563C1"/>
      <x:name val="Calibri"/>
    </x:font>
    <x:font>
      <x:b/>
      <x:u/>
      <x:sz val="11"/>
      <x:color rgb="FF00838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00838F"/>
      </x:patternFill>
    </x:fill>
    <x:fill>
      <x:patternFill patternType="solid">
        <x:fgColor rgb="FFE0F7FA"/>
      </x:patternFill>
    </x:fill>
    <x:fill>
      <x:patternFill patternType="solid">
        <x:fgColor rgb="FFFFF8E1"/>
      </x:patternFill>
    </x:fill>
    <x:fill>
      <x:patternFill patternType="solid">
        <x:fgColor rgb="FF00ACC1"/>
      </x:patternFill>
    </x:fill>
    <x:fill>
      <x:patternFill patternType="solid">
        <x:fgColor rgb="FFE8F5E9"/>
      </x:patternFill>
    </x:fill>
    <x:fill>
      <x:patternFill patternType="solid">
        <x:fgColor rgb="FFFFEBEE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9" fillId="0" borderId="0" applyFont="1"/>
  </x:cellStyleXfs>
  <x:cellXfs count="22">
    <x:xf numFmtId="0" fontId="0" fillId="0" borderId="0"/>
    <x:xf numFmtId="0" fontId="1" fillId="2" borderId="0" applyFont="1" applyFill="1" applyAlignment="1">
      <x:alignment vertical="center"/>
    </x:xf>
    <x:xf numFmtId="0" fontId="2" fillId="3" borderId="0" applyFont="1" applyFill="1" applyAlignment="1">
      <x:alignment wrapText="1"/>
    </x:xf>
    <x:xf numFmtId="0" fontId="3" fillId="3" borderId="0" applyFont="1" applyFill="1" applyAlignment="1">
      <x:alignment wrapText="1"/>
    </x:xf>
    <x:xf numFmtId="0" fontId="3" fillId="4" borderId="0" applyFont="1" applyFill="1" applyAlignment="1">
      <x:alignment wrapText="1"/>
    </x:xf>
    <x:xf numFmtId="0" fontId="4" fillId="5" borderId="0" applyFont="1" applyFill="1" applyAlignment="1">
      <x:alignment horizontal="center" vertical="center" wrapText="1"/>
    </x:xf>
    <x:xf numFmtId="164" fontId="0" fillId="0" borderId="0" applyNumberFormat="1"/>
    <x:xf numFmtId="0" fontId="4" fillId="5" borderId="0" applyFont="1" applyFill="1"/>
    <x:xf numFmtId="0" fontId="0" fillId="0" borderId="0" applyAlignment="1">
      <x:alignment horizontal="center"/>
    </x:xf>
    <x:xf numFmtId="0" fontId="1" fillId="2" borderId="0" applyFont="1" applyFill="1" applyAlignment="1">
      <x:alignment vertical="center" wrapText="1"/>
    </x:xf>
    <x:xf numFmtId="0" fontId="2" fillId="3" borderId="0" applyFont="1" applyFill="1"/>
    <x:xf numFmtId="0" fontId="5" fillId="0" borderId="0" applyFont="1"/>
    <x:xf numFmtId="0" fontId="0" fillId="0" borderId="0" applyAlignment="1">
      <x:alignment vertical="top" wrapText="1"/>
    </x:xf>
    <x:xf numFmtId="0" fontId="4" fillId="5" borderId="0" applyFont="1" applyFill="1" applyAlignment="1">
      <x:alignment horizontal="center"/>
    </x:xf>
    <x:xf numFmtId="0" fontId="6" fillId="3" borderId="0" applyFont="1" applyFill="1" applyAlignment="1">
      <x:alignment horizontal="center"/>
    </x:xf>
    <x:xf numFmtId="0" fontId="0" fillId="6" borderId="0" applyFill="1" applyAlignment="1">
      <x:alignment horizontal="center"/>
    </x:xf>
    <x:xf numFmtId="0" fontId="6" fillId="0" borderId="0" applyFont="1"/>
    <x:xf numFmtId="0" fontId="7" fillId="7" borderId="0" applyFont="1" applyFill="1" applyAlignment="1">
      <x:alignment horizontal="center"/>
    </x:xf>
    <x:xf numFmtId="0" fontId="0" fillId="0" borderId="0" applyAlignment="1">
      <x:alignment wrapText="1"/>
    </x:xf>
    <x:xf numFmtId="0" fontId="8" fillId="0" borderId="0" applyFont="1"/>
    <x:xf numFmtId="0" fontId="9" fillId="0" borderId="0" xfId="1" applyFont="1"/>
    <x:xf numFmtId="0" fontId="10" fillId="0" borderId="0" applyFont="1"/>
  </x:cellXfs>
  <x:cellStyles count="2">
    <x:cellStyle name="Normal" xfId="0" builtinId="0"/>
    <x:cellStyle name="Hyperlink" xfId="1" builtin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fa79133362c4150" /><Relationship Type="http://schemas.openxmlformats.org/officeDocument/2006/relationships/worksheet" Target="/xl/worksheets/sheet2.xml" Id="R357ab89cc4f344f5" /><Relationship Type="http://schemas.openxmlformats.org/officeDocument/2006/relationships/worksheet" Target="/xl/worksheets/sheet3.xml" Id="R05553061833f4a7b" /><Relationship Type="http://schemas.openxmlformats.org/officeDocument/2006/relationships/worksheet" Target="/xl/worksheets/sheet4.xml" Id="R14dfe4d15b1d4e7b" /><Relationship Type="http://schemas.openxmlformats.org/officeDocument/2006/relationships/styles" Target="/xl/styles.xml" Id="Rc646094fedfe4c21" /></Relationships>
</file>

<file path=xl/tables/table1.xml><?xml version="1.0" encoding="utf-8"?>
<x:table xmlns:x="http://schemas.openxmlformats.org/spreadsheetml/2006/main" id="1" name="ZaprosyPD" displayName="ZaprosyPD" ref="A5:O55" totalsRowShown="0">
  <x:autoFilter ref="A5:O55"/>
  <x:tableColumns count="15">
    <x:tableColumn id="1" name="№"/>
    <x:tableColumn id="2" name="Дата поступления"/>
    <x:tableColumn id="3" name="Способ поступления"/>
    <x:tableColumn id="4" name="ФИО субъекта (представителя)"/>
    <x:tableColumn id="5" name="Контакт субъекта"/>
    <x:tableColumn id="6" name="Вид запроса"/>
    <x:tableColumn id="7" name="Краткое содержание"/>
    <x:tableColumn id="8" name="Срок ответа"/>
    <x:tableColumn id="9" name="Дата ответа"/>
    <x:tableColumn id="10" name="Результат"/>
    <x:tableColumn id="11" name="Дата уничтожения ПДн"/>
    <x:tableColumn id="12" name="№ акта об уничтожении"/>
    <x:tableColumn id="13" name="Ответственный"/>
    <x:tableColumn id="14" name="Примечание"/>
    <x:tableColumn id="15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3d24eee9804b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mailto:Ice.product96@yandex.ru" TargetMode="External" Id="R17e96d1749c74534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00ACC1"/>
    <x:pageSetUpPr fitToPage="1"/>
  </x:sheetPr>
  <x:sheetViews>
    <x:sheetView workbookViewId="0">
      <x:pane ySplit="5" topLeftCell="A6" activePane="bottomLeft" state="frozen"/>
    </x:sheetView>
  </x:sheetViews>
  <x:cols>
    <x:col min="1" max="1" width="6" customWidth="1"/>
    <x:col min="2" max="2" width="16" style="6" customWidth="1"/>
    <x:col min="3" max="3" width="20" customWidth="1"/>
    <x:col min="4" max="4" width="28" customWidth="1"/>
    <x:col min="5" max="5" width="26" customWidth="1"/>
    <x:col min="6" max="6" width="26" customWidth="1"/>
    <x:col min="7" max="7" width="36" customWidth="1"/>
    <x:col min="8" max="8" width="14" style="6" customWidth="1"/>
    <x:col min="9" max="9" width="14" style="6" customWidth="1"/>
    <x:col min="10" max="10" width="24" customWidth="1"/>
    <x:col min="11" max="11" width="20" style="6" customWidth="1"/>
    <x:col min="12" max="12" width="22" customWidth="1"/>
    <x:col min="13" max="13" width="22" customWidth="1"/>
    <x:col min="14" max="14" width="28" customWidth="1"/>
    <x:col min="15" max="15" width="16" customWidth="1"/>
  </x:cols>
  <x:sheetData>
    <x:row r="1" ht="28" customHeight="1">
      <x:c r="A1" s="1" t="str">
        <x:v>Журнал учёта запросов субъектов персональных данных</x:v>
      </x:c>
    </x:row>
    <x:row r="2" ht="32" customHeight="1">
      <x:c r="A2" s="2" t="str">
        <x:v>Оператор: ИП Хлебников Никита Евгеньевич (ИНН 660677570017, ОГРНИП 320665800018429). Внутренний документ, не для публикации.</x:v>
      </x:c>
    </x:row>
    <x:row r="3" ht="32" customHeight="1">
      <x:c r="A3" s="3" t="str">
        <x:v>Входящие обращения: Ice.product96@yandex.ru. Каждый запрос фиксируется в день поступления. Заполненный журнал с персональными данными хранить только в защищённом месте, в git не выкладывать.</x:v>
      </x:c>
    </x:row>
    <x:row r="4" ht="32" customHeight="1">
      <x:c r="A4" s="4" t="str">
        <x:v>Сроки: сведения о обработке — 10 рабочих дней; уничтожение незаконных/избыточных данных — 7 рабочих дней; уничтожение при отзыве согласия — 30 дней (ст. 20, 21 152-ФЗ).</x:v>
      </x:c>
    </x:row>
    <x:row r="5" ht="36" customHeight="1">
      <x:c r="A5" s="5" t="str">
        <x:v>№</x:v>
      </x:c>
      <x:c r="B5" s="5" t="str">
        <x:v>Дата поступления</x:v>
      </x:c>
      <x:c r="C5" s="5" t="str">
        <x:v>Способ поступления</x:v>
      </x:c>
      <x:c r="D5" s="5" t="str">
        <x:v>ФИО субъекта (представителя)</x:v>
      </x:c>
      <x:c r="E5" s="5" t="str">
        <x:v>Контакт субъекта</x:v>
      </x:c>
      <x:c r="F5" s="5" t="str">
        <x:v>Вид запроса</x:v>
      </x:c>
      <x:c r="G5" s="5" t="str">
        <x:v>Краткое содержание</x:v>
      </x:c>
      <x:c r="H5" s="5" t="str">
        <x:v>Срок ответа</x:v>
      </x:c>
      <x:c r="I5" s="5" t="str">
        <x:v>Дата ответа</x:v>
      </x:c>
      <x:c r="J5" s="5" t="str">
        <x:v>Результат</x:v>
      </x:c>
      <x:c r="K5" s="5" t="str">
        <x:v>Дата уничтожения ПДн</x:v>
      </x:c>
      <x:c r="L5" s="5" t="str">
        <x:v>№ акта об уничтожении</x:v>
      </x:c>
      <x:c r="M5" s="5" t="str">
        <x:v>Ответственный</x:v>
      </x:c>
      <x:c r="N5" s="5" t="str">
        <x:v>Примечание</x:v>
      </x:c>
      <x:c r="O5" s="5" t="str">
        <x:v>Статус</x:v>
      </x:c>
    </x:row>
    <x:row r="6">
      <x:c r="A6" s="8">
        <x:f t="array" ref="A6:A55">_xlfn.SEQUENCE(50)</x:f>
      </x:c>
    </x:row>
  </x:sheetData>
  <x:mergeCells count="4">
    <x:mergeCell ref="A1:O1"/>
    <x:mergeCell ref="A2:O2"/>
    <x:mergeCell ref="A3:O3"/>
    <x:mergeCell ref="A4:O4"/>
  </x:mergeCells>
  <x:dataValidations count="4">
    <x:dataValidation type="list" allowBlank="1" showInputMessage="1" showErrorMessage="1" sqref="C6:C55">
      <x:formula1>"Электронная почта,Телефон,Telegram,Лично,Иное"</x:formula1>
    </x:dataValidation>
    <x:dataValidation type="list" allowBlank="1" showInputMessage="1" showErrorMessage="1" sqref="F6:F55">
      <x:formula1>"Доступ к ПДн,Уточнение,Блокирование,Уничтожение (удаление),Отзыв согласия,Иное"</x:formula1>
    </x:dataValidation>
    <x:dataValidation type="list" allowBlank="1" showInputMessage="1" showErrorMessage="1" sqref="J6:J55">
      <x:formula1>"Исполнено полностью,Исполнено частично,Отказано,Отозвано субъектом,Не требуется уничтожение"</x:formula1>
    </x:dataValidation>
    <x:dataValidation type="list" allowBlank="1" showInputMessage="1" showErrorMessage="1" sqref="O6:O55">
      <x:formula1>"Новый,В работе,Исполнен,Отказано"</x:formula1>
    </x:dataValidation>
  </x:dataValidations>
  <x:pageSetup fitToWidth="1" fitToHeight="1" orientation="landscape"/>
  <x:tableParts count="1">
    <x:tablePart xmlns:r="http://schemas.openxmlformats.org/officeDocument/2006/relationships" r:id="Rbe3d24eee9804bbe"/>
  </x:tableParts>
</x:worksheet>
</file>

<file path=xl/worksheets/sheet2.xml><?xml version="1.0" encoding="utf-8"?>
<x:worksheet xmlns:x="http://schemas.openxmlformats.org/spreadsheetml/2006/main">
  <x:sheetPr>
    <x:tabColor rgb="FF4CAF50"/>
  </x:sheetPr>
  <x:cols>
    <x:col min="1" max="1" width="110" customWidth="1"/>
    <x:col min="2" max="2" width="12" customWidth="1"/>
  </x:cols>
  <x:sheetData>
    <x:row r="1" ht="48" customHeight="1">
      <x:c r="A1" s="9" t="str">
        <x:v>Инструкция: как учитывать запросы на удаление и иные обращения субъектов ПДн</x:v>
      </x:c>
    </x:row>
    <x:row r="2">
      <x:c r="A2" s="10" t="str">
        <x:v>Внутренний документ ИП Хлебникова Н.Е. (Айс.Продукт). Не размещать на сайте.</x:v>
      </x:c>
    </x:row>
    <x:row r="4">
      <x:c r="A4" s="11" t="str">
        <x:v>1. Куда приходят запросы</x:v>
      </x:c>
    </x:row>
    <x:row r="5" ht="56" customHeight="1">
      <x:c r="A5" s="12" t="str">
        <x:v>Основной адрес — Ice.product96@yandex.ru (указан в Политике конфиденциальности). Запрос может также прийти по телефону +7 (982) 755-40-22 или в Telegram @IceShield_support_bot. Все такие обращения заносите в лист «Журнал» в день поступления, даже если это устное сообщение.</x:v>
      </x:c>
    </x:row>
    <x:row r="7">
      <x:c r="A7" s="11" t="str">
        <x:v>2. Что сделать в день поступления</x:v>
      </x:c>
    </x:row>
    <x:row r="8" ht="68" customHeight="1">
      <x:c r="A8" s="12" t="str">
        <x:v>Заполните: дату, способ поступления, ФИО, контакт, вид запроса, краткое содержание. Поставьте статус «Новый». Срок ответа рассчитайте от даты поступления: 10 рабочих дней — на сведения об обработке; 7 рабочих дней — если данные незаконны или не нужны для цели; 30 дней — уничтожение при отзыве согласия. Почту проверяйте ежедневно.</x:v>
      </x:c>
    </x:row>
    <x:row r="10">
      <x:c r="A10" s="11" t="str">
        <x:v>3. Как идентифицировать заявителя</x:v>
      </x:c>
    </x:row>
    <x:row r="11" ht="56" customHeight="1">
      <x:c r="A11" s="12" t="str">
        <x:v>Удалять данные можно только если понятно, что пишет сам субъект (или представитель по доверенности). Если из письма это не следует — запросите уточнение (с какого контакта обращались ранее, дату обращения, продукт). Не высылайте содержимое чужих данных на непроверенный адрес.</x:v>
      </x:c>
    </x:row>
    <x:row r="13">
      <x:c r="A13" s="11" t="str">
        <x:v>4. Где искать и что удалять</x:v>
      </x:c>
    </x:row>
    <x:row r="14" ht="72" customHeight="1">
      <x:c r="A14" s="12" t="str">
        <x:v>Проверьте все контуры, где могли остаться данные заявителя: почтовый ящик Ice.product96@yandex.ru; переписка в Telegram; учётные записи и тикеты продуктов (Айс.Трекер, Айс.Щит и др.); локальные таблицы и документы; бумажные носители. Удалите найденное. Не трогайте сведения, которые закон требует хранить (бухучёт, налоговые документы) — в журнале укажите «Не требуется уничтожение» и причину в примечании.</x:v>
      </x:c>
    </x:row>
    <x:row r="16">
      <x:c r="A16" s="11" t="str">
        <x:v>5. Подтверждение и акт</x:v>
      </x:c>
    </x:row>
    <x:row r="17" ht="56" customHeight="1">
      <x:c r="A17" s="12" t="str">
        <x:v>Ответьте заявителю на тот же email: что сделано и когда. При уничтожении оформите акт об уничтожении персональных данных (приказ Роскомнадзора от 28.10.2022 № 179) и внесите номер акта и дату в журнал. Акт храните не менее 3 лет.</x:v>
      </x:c>
    </x:row>
    <x:row r="19">
      <x:c r="A19" s="11" t="str">
        <x:v>6. Как вести этот файл</x:v>
      </x:c>
    </x:row>
    <x:row r="20" ht="68" customHeight="1">
      <x:c r="A20" s="12" t="str">
        <x:v>Не публикуйте журнал и не коммитьте заполненную копию в git — в нём будут персональные данные. Храните рабочий файл в защищённой папке (диск с доступом только ответственного). Лист «Справочники» нужен для выпадающих списков, не удаляйте его. Лист «Сводка» считает статусы автоматически. Когда строки 1–50 закончатся, протяните таблицу вниз.</x:v>
      </x:c>
    </x:row>
    <x:row r="22">
      <x:c r="A22" s="11" t="str">
        <x:v>Шаблон ответа заявителю</x:v>
      </x:c>
    </x:row>
    <x:row r="23" ht="160" customHeight="1">
      <x:c r="A23" s="12" t="str">
        <x:v>Тема: О рассмотрении запроса на удаление персональных данных
Здравствуйте!
Ваш запрос от [дата] рассмотрен. Персональные данные, относящиеся к Вам и обрабатываемые ИП Хлебниковым Н.Е. (Айс.Продукт), уничтожены [дата] из следующих систем: [перечень].
Если часть сведений сохранена по требованию закона (например, бухгалтерские документы), это указано ниже: [причина / срок хранения].
Контакт по вопросам персональных данных: Ice.product96@yandex.ru.</x:v>
      </x:c>
    </x:row>
  </x:sheetData>
  <x:mergeCells count="2">
    <x:mergeCell ref="A1:B1"/>
    <x:mergeCell ref="A2:B2"/>
  </x:mergeCells>
  <x:pageSetup orientation="portrait"/>
</x:worksheet>
</file>

<file path=xl/worksheets/sheet3.xml><?xml version="1.0" encoding="utf-8"?>
<x:worksheet xmlns:x="http://schemas.openxmlformats.org/spreadsheetml/2006/main">
  <x:sheetPr>
    <x:tabColor rgb="FF90A4AE"/>
  </x:sheetPr>
  <x:cols>
    <x:col min="1" max="1" width="28" customWidth="1"/>
    <x:col min="2" max="2" width="28" customWidth="1"/>
    <x:col min="3" max="3" width="28" customWidth="1"/>
    <x:col min="4" max="4" width="18" customWidth="1"/>
  </x:cols>
  <x:sheetData>
    <x:row r="1">
      <x:c r="A1" s="7" t="str">
        <x:v>Способ поступления</x:v>
      </x:c>
      <x:c r="B1" s="7" t="str">
        <x:v>Вид запроса</x:v>
      </x:c>
      <x:c r="C1" s="7" t="str">
        <x:v>Результат</x:v>
      </x:c>
      <x:c r="D1" s="7" t="str">
        <x:v>Статус</x:v>
      </x:c>
    </x:row>
    <x:row r="2">
      <x:c r="A2" t="str">
        <x:v>Электронная почта</x:v>
      </x:c>
      <x:c r="B2" t="str">
        <x:v>Доступ к ПДн</x:v>
      </x:c>
      <x:c r="C2" t="str">
        <x:v>Исполнено полностью</x:v>
      </x:c>
      <x:c r="D2" t="str">
        <x:v>Новый</x:v>
      </x:c>
    </x:row>
    <x:row r="3">
      <x:c r="A3" t="str">
        <x:v>Телефон</x:v>
      </x:c>
      <x:c r="B3" t="str">
        <x:v>Уточнение</x:v>
      </x:c>
      <x:c r="C3" t="str">
        <x:v>Исполнено частично</x:v>
      </x:c>
      <x:c r="D3" t="str">
        <x:v>В работе</x:v>
      </x:c>
    </x:row>
    <x:row r="4">
      <x:c r="A4" t="str">
        <x:v>Telegram</x:v>
      </x:c>
      <x:c r="B4" t="str">
        <x:v>Блокирование</x:v>
      </x:c>
      <x:c r="C4" t="str">
        <x:v>Отказано</x:v>
      </x:c>
      <x:c r="D4" t="str">
        <x:v>Исполнен</x:v>
      </x:c>
    </x:row>
    <x:row r="5">
      <x:c r="A5" t="str">
        <x:v>Лично</x:v>
      </x:c>
      <x:c r="B5" t="str">
        <x:v>Уничтожение (удаление)</x:v>
      </x:c>
      <x:c r="C5" t="str">
        <x:v>Отозвано субъектом</x:v>
      </x:c>
      <x:c r="D5" t="str">
        <x:v>Отказано</x:v>
      </x:c>
    </x:row>
    <x:row r="6">
      <x:c r="A6" t="str">
        <x:v>Иное</x:v>
      </x:c>
      <x:c r="B6" t="str">
        <x:v>Отзыв согласия</x:v>
      </x:c>
      <x:c r="C6" t="str">
        <x:v>Не требуется уничтожение</x:v>
      </x:c>
    </x:row>
    <x:row r="7">
      <x:c r="B7" t="str">
        <x:v>Иное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tabColor rgb="FF00838F"/>
  </x:sheetPr>
  <x:sheetViews>
    <x:sheetView workbookViewId="0">
      <x:pane ySplit="4" topLeftCell="A5" activePane="bottomLeft" state="frozen"/>
    </x:sheetView>
  </x:sheetViews>
  <x:cols>
    <x:col min="1" max="1" width="48" customWidth="1"/>
    <x:col min="2" max="2" width="22" customWidth="1"/>
    <x:col min="3" max="3" width="62" customWidth="1"/>
  </x:cols>
  <x:sheetData>
    <x:row r="1" ht="28" customHeight="1">
      <x:c r="A1" s="1" t="str">
        <x:v>Сводка по запросам субъектов ПДн</x:v>
      </x:c>
    </x:row>
    <x:row r="2" ht="36" customHeight="1">
      <x:c r="A2" s="2" t="str">
        <x:v>Счётчики считают заполненные строки листа «Журнал». Пустые шаблонные строки не входят в «всего», пока не указана дата поступления.</x:v>
      </x:c>
    </x:row>
    <x:row r="4">
      <x:c r="A4" s="7" t="str">
        <x:v>Показатель</x:v>
      </x:c>
      <x:c r="B4" s="13" t="str">
        <x:v>Количество</x:v>
      </x:c>
      <x:c r="C4" s="7" t="str">
        <x:v>Пояснение</x:v>
      </x:c>
    </x:row>
    <x:row r="5">
      <x:c r="A5" t="str">
        <x:v>Всего поступило (есть дата)</x:v>
      </x:c>
      <x:c r="B5" s="14">
        <x:f>COUNTA(ZaprosyPD[Дата поступления])</x:f>
      </x:c>
      <x:c r="C5" t="str">
        <x:v>Строки, где заполнена дата поступления</x:v>
      </x:c>
    </x:row>
    <x:row r="6">
      <x:c r="A6" t="str">
        <x:v>Новых</x:v>
      </x:c>
      <x:c r="B6" s="8">
        <x:f>COUNTIF(ZaprosyPD[Статус],"Новый")</x:f>
      </x:c>
      <x:c r="C6" t="str">
        <x:v>Ещё не взяты в работу</x:v>
      </x:c>
    </x:row>
    <x:row r="7">
      <x:c r="A7" t="str">
        <x:v>В работе</x:v>
      </x:c>
      <x:c r="B7" s="8">
        <x:f>COUNTIF(ZaprosyPD[Статус],"В работе")</x:f>
      </x:c>
      <x:c r="C7" t="str">
        <x:v>Исполнение не завершено</x:v>
      </x:c>
    </x:row>
    <x:row r="8">
      <x:c r="A8" t="str">
        <x:v>Исполнено</x:v>
      </x:c>
      <x:c r="B8" s="15">
        <x:f>COUNTIF(ZaprosyPD[Статус],"Исполнен")</x:f>
      </x:c>
      <x:c r="C8" t="str">
        <x:v>Ответ направлен, данные обработаны</x:v>
      </x:c>
    </x:row>
    <x:row r="9">
      <x:c r="A9" t="str">
        <x:v>Отказано</x:v>
      </x:c>
      <x:c r="B9" s="8">
        <x:f>COUNTIF(ZaprosyPD[Статус],"Отказано")</x:f>
      </x:c>
      <x:c r="C9" t="str">
        <x:v>Мотивированный отказ (есть законное основание хранить данные)</x:v>
      </x:c>
    </x:row>
    <x:row r="10">
      <x:c r="A10" s="16" t="str">
        <x:v>Просрочено</x:v>
      </x:c>
      <x:c r="B10" s="17">
        <x:f>COUNTIFS(ZaprosyPD[Срок ответа],"&lt;"&amp;TODAY(),ZaprosyPD[Срок ответа],"&gt;0",ZaprosyPD[Статус],"&lt;&gt;Исполнен",ZaprosyPD[Статус],"&lt;&gt;Отказано")</x:f>
      </x:c>
      <x:c r="C10" t="str">
        <x:v>Срок ответа уже прошёл, статус не финальный</x:v>
      </x:c>
    </x:row>
    <x:row r="12">
      <x:c r="A12" s="11" t="str">
        <x:v>Контрольные сроки по 152-ФЗ</x:v>
      </x:c>
    </x:row>
    <x:row r="13">
      <x:c r="A13" s="18" t="str">
        <x:v>Сведения об обработке (ст. 20)</x:v>
      </x:c>
      <x:c r="B13" s="16" t="str">
        <x:v>10 рабочих дней</x:v>
      </x:c>
      <x:c r="C13" t="str">
        <x:v>Можно продлить не более чем на 5 рабочих дней</x:v>
      </x:c>
    </x:row>
    <x:row r="14">
      <x:c r="A14" s="18" t="str">
        <x:v>Уничтожение незаконных / ненужных данных</x:v>
      </x:c>
      <x:c r="B14" s="16" t="str">
        <x:v>7 рабочих дней</x:v>
      </x:c>
      <x:c r="C14" t="str">
        <x:v>Если данные получены незаконно или не нужны для цели</x:v>
      </x:c>
    </x:row>
    <x:row r="15">
      <x:c r="A15" s="18" t="str">
        <x:v>Уничтожение при отзыве согласия (ст. 21)</x:v>
      </x:c>
      <x:c r="B15" s="16" t="str">
        <x:v>30 дней</x:v>
      </x:c>
      <x:c r="C15" t="str">
        <x:v>Если нет иного законного основания обработки</x:v>
      </x:c>
    </x:row>
    <x:row r="17">
      <x:c r="A17" s="19" t="str">
        <x:v>Адрес для обращений, указанный в политике:</x:v>
      </x:c>
      <x:c r="B17" s="21" t="str">
        <x:v>Ice.product96@yandex.ru</x:v>
      </x:c>
    </x:row>
  </x:sheetData>
  <x:mergeCells count="3">
    <x:mergeCell ref="A1:C1"/>
    <x:mergeCell ref="A2:C2"/>
    <x:mergeCell ref="A12:C12"/>
  </x:mergeCells>
  <x:hyperlinks>
    <x:hyperlink xmlns:r="http://schemas.openxmlformats.org/officeDocument/2006/relationships" ref="B17" r:id="R17e96d1749c74534"/>
  </x:hyperlinks>
</x:worksheet>
</file>

<file path=docProps/app.xml><?xml version="1.0" encoding="utf-8"?>
<ap:Properties xmlns:ap="http://schemas.openxmlformats.org/officeDocument/2006/extended-properties">
  <ap:Application>OfficeCLI/1.0.122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2026-08-31T16:24:49Z</dcterms:created>
  <cp:lastModifiedBy>OfficeCLI</cp:lastModifiedBy>
  <dcterms:modified xsi:type="dcterms:W3CDTF">2026-08-31T16:24:49Z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1.0.145</vt:lpwstr>
  </op:property>
  <op:property fmtid="{D5CDD505-2E9C-101B-9397-08002B2CF9AE}" pid="3" name="OfficeCLI.LastModified">
    <vt:lpwstr xmlns:vt="http://schemas.openxmlformats.org/officeDocument/2006/docPropsVTypes">2026-08-31T16:28:05Z</vt:lpwstr>
  </op:property>
</op:Properties>
</file>